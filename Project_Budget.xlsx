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fa\Downloads\"/>
    </mc:Choice>
  </mc:AlternateContent>
  <xr:revisionPtr revIDLastSave="0" documentId="13_ncr:1_{F236E378-9991-49D1-B224-1BD2411FCC94}" xr6:coauthVersionLast="47" xr6:coauthVersionMax="47" xr10:uidLastSave="{00000000-0000-0000-0000-000000000000}"/>
  <bookViews>
    <workbookView xWindow="-110" yWindow="-110" windowWidth="25820" windowHeight="13900" tabRatio="500" xr2:uid="{00000000-000D-0000-FFFF-FFFF00000000}"/>
  </bookViews>
  <sheets>
    <sheet name="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7" i="1" l="1"/>
  <c r="I14" i="1"/>
  <c r="I15" i="1" s="1"/>
  <c r="H14" i="1"/>
  <c r="H15" i="1" s="1"/>
  <c r="K13" i="1"/>
  <c r="J13" i="1"/>
  <c r="K12" i="1"/>
  <c r="J12" i="1"/>
  <c r="K11" i="1"/>
  <c r="J11" i="1"/>
  <c r="K10" i="1"/>
  <c r="J10" i="1"/>
  <c r="K9" i="1"/>
  <c r="J9" i="1"/>
  <c r="K8" i="1"/>
  <c r="K14" i="1" s="1"/>
  <c r="J8" i="1"/>
  <c r="D15" i="1"/>
  <c r="G14" i="1"/>
  <c r="G15" i="1" s="1"/>
  <c r="F14" i="1"/>
  <c r="F15" i="1" s="1"/>
  <c r="E14" i="1"/>
  <c r="E15" i="1" s="1"/>
  <c r="D14" i="1"/>
  <c r="B14" i="1"/>
  <c r="C13" i="1"/>
  <c r="C12" i="1"/>
  <c r="C11" i="1"/>
  <c r="C10" i="1"/>
  <c r="C9" i="1"/>
  <c r="C8" i="1"/>
  <c r="J14" i="1" l="1"/>
  <c r="K15" i="1"/>
</calcChain>
</file>

<file path=xl/sharedStrings.xml><?xml version="1.0" encoding="utf-8"?>
<sst xmlns="http://schemas.openxmlformats.org/spreadsheetml/2006/main" count="24" uniqueCount="24">
  <si>
    <t>Project budget</t>
  </si>
  <si>
    <t>Max. hours per person per day</t>
  </si>
  <si>
    <t>Working days per week (Mon-Fri)</t>
  </si>
  <si>
    <t>Iteration</t>
  </si>
  <si>
    <t>Weeks</t>
  </si>
  <si>
    <t>Max. hours per person</t>
  </si>
  <si>
    <t>Total hours</t>
  </si>
  <si>
    <t>Iteration cost (€)</t>
  </si>
  <si>
    <t>Cost per hour (€/h)</t>
  </si>
  <si>
    <t>Iteration 0</t>
  </si>
  <si>
    <t>Iteration 1</t>
  </si>
  <si>
    <t>Iteration 2</t>
  </si>
  <si>
    <t>Iteration 3</t>
  </si>
  <si>
    <t>Iteration 4</t>
  </si>
  <si>
    <t>Iteration N</t>
  </si>
  <si>
    <t>TOTAL hours</t>
  </si>
  <si>
    <t>Cost per person (€)</t>
  </si>
  <si>
    <t>PROJECT TOTAL (€)</t>
  </si>
  <si>
    <t>Rafael</t>
  </si>
  <si>
    <t>Victoria</t>
  </si>
  <si>
    <t>Patricia</t>
  </si>
  <si>
    <t>Alba</t>
  </si>
  <si>
    <t>Antonio</t>
  </si>
  <si>
    <t>Åsta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</si>
</sst>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€&quot;;\-#,##0.00&quot; €&quot;;\-"/>
    <numFmt numFmtId="165" formatCode="#,##0.0;\-#,##0.0;\-"/>
  </numFmts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b/>
      <sz val="9"/>
      <color rgb="FF59595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7" fillId="3" borderId="1" xfId="0" applyFont="1" applyFill="1" applyBorder="1" applyAlignment="1">
      <alignment horizontal="right" vertical="center" wrapText="1"/>
    </xf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" fontId="4" fillId="2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/>
    <xf numFmtId="0" fontId="3" fillId="4" borderId="1" xfId="0" applyFont="1" applyFill="1" applyBorder="1"/>
    <xf numFmtId="164" fontId="4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" fontId="3" fillId="0" borderId="1" xfId="0" applyNumberFormat="1" applyFont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1" fontId="6" fillId="4" borderId="1" xfId="0" applyNumberFormat="1" applyFont="1" applyFill="1" applyBorder="1" applyAlignment="1">
      <alignment horizontal="right" vertical="center" wrapText="1"/>
    </xf>
    <xf numFmtId="165" fontId="6" fillId="4" borderId="1" xfId="0" applyNumberFormat="1" applyFont="1" applyFill="1" applyBorder="1" applyAlignment="1">
      <alignment horizontal="right" vertical="center" wrapText="1"/>
    </xf>
    <xf numFmtId="164" fontId="6" fillId="4" borderId="1" xfId="0" applyNumberFormat="1" applyFont="1" applyFill="1" applyBorder="1" applyAlignment="1">
      <alignment horizontal="right" vertical="center" wrapText="1"/>
    </xf>
    <xf numFmtId="164" fontId="8" fillId="2" borderId="1" xfId="0" applyNumberFormat="1" applyFont="1" applyFill="1" applyBorder="1" applyAlignment="1">
      <alignment horizontal="right" vertical="center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I23" sqref="I23"/>
    </sheetView>
  </sheetViews>
  <sheetFormatPr defaultColWidth="8.6328125" defaultRowHeight="14.5" x14ac:dyDescent="0.35"/>
  <cols>
    <col min="1" max="1" width="34" customWidth="1"/>
    <col min="2" max="2" width="10" customWidth="1"/>
    <col min="3" max="3" width="14" customWidth="1"/>
    <col min="4" max="8" width="13" customWidth="1"/>
    <col min="9" max="9" width="20" customWidth="1"/>
    <col min="10" max="10" width="10.453125" customWidth="1"/>
    <col min="11" max="11" width="26" customWidth="1"/>
  </cols>
  <sheetData>
    <row r="1" spans="1:11" ht="18" x14ac:dyDescent="0.4">
      <c r="A1" s="2" t="s">
        <v>0</v>
      </c>
    </row>
    <row r="2" spans="1:11" x14ac:dyDescent="0.35">
      <c r="A2" s="3"/>
    </row>
    <row r="3" spans="1:11" x14ac:dyDescent="0.35">
      <c r="A3" s="4" t="s">
        <v>1</v>
      </c>
      <c r="B3" s="5">
        <v>8</v>
      </c>
    </row>
    <row r="4" spans="1:11" x14ac:dyDescent="0.35">
      <c r="A4" s="4" t="s">
        <v>2</v>
      </c>
      <c r="B4" s="5">
        <v>5</v>
      </c>
    </row>
    <row r="6" spans="1:11" ht="31.5" customHeight="1" x14ac:dyDescent="0.35">
      <c r="A6" s="6" t="s">
        <v>3</v>
      </c>
      <c r="B6" s="6" t="s">
        <v>4</v>
      </c>
      <c r="C6" s="6" t="s">
        <v>5</v>
      </c>
      <c r="D6" s="6" t="s">
        <v>21</v>
      </c>
      <c r="E6" s="6" t="s">
        <v>22</v>
      </c>
      <c r="F6" s="6" t="s">
        <v>23</v>
      </c>
      <c r="G6" s="6" t="s">
        <v>20</v>
      </c>
      <c r="H6" s="6" t="s">
        <v>18</v>
      </c>
      <c r="I6" s="6" t="s">
        <v>19</v>
      </c>
      <c r="J6" s="6" t="s">
        <v>6</v>
      </c>
      <c r="K6" s="6" t="s">
        <v>7</v>
      </c>
    </row>
    <row r="7" spans="1:11" x14ac:dyDescent="0.35">
      <c r="A7" s="7" t="s">
        <v>8</v>
      </c>
      <c r="B7" s="8"/>
      <c r="C7" s="8"/>
      <c r="D7" s="9">
        <v>6.25</v>
      </c>
      <c r="E7" s="9">
        <v>6.25</v>
      </c>
      <c r="F7" s="9">
        <v>6.25</v>
      </c>
      <c r="G7" s="9">
        <v>6.25</v>
      </c>
      <c r="H7" s="9">
        <v>6.25</v>
      </c>
      <c r="I7" s="9">
        <v>6.25</v>
      </c>
      <c r="J7" s="8"/>
      <c r="K7" s="8"/>
    </row>
    <row r="8" spans="1:11" x14ac:dyDescent="0.35">
      <c r="A8" s="10" t="s">
        <v>9</v>
      </c>
      <c r="B8" s="5">
        <v>1</v>
      </c>
      <c r="C8" s="11">
        <f t="shared" ref="C8:C13" si="0">B8*$B$4*$B$3</f>
        <v>40</v>
      </c>
      <c r="D8" s="12">
        <v>40</v>
      </c>
      <c r="E8" s="12">
        <v>40</v>
      </c>
      <c r="F8" s="12">
        <v>40</v>
      </c>
      <c r="G8" s="12">
        <v>40</v>
      </c>
      <c r="H8" s="12">
        <v>40</v>
      </c>
      <c r="I8" s="12">
        <v>40</v>
      </c>
      <c r="J8" s="13">
        <f t="shared" ref="J8:J13" si="1">SUM(F8:I8)</f>
        <v>160</v>
      </c>
      <c r="K8" s="14">
        <f t="shared" ref="K8:K13" si="2">SUMPRODUCT(F8:I8,$D$7:$G$7)</f>
        <v>1000</v>
      </c>
    </row>
    <row r="9" spans="1:11" x14ac:dyDescent="0.35">
      <c r="A9" s="10" t="s">
        <v>10</v>
      </c>
      <c r="B9" s="5">
        <v>2</v>
      </c>
      <c r="C9" s="11">
        <f t="shared" si="0"/>
        <v>80</v>
      </c>
      <c r="D9" s="12"/>
      <c r="E9" s="12"/>
      <c r="F9" s="12"/>
      <c r="G9" s="12"/>
      <c r="H9" s="12"/>
      <c r="I9" s="12"/>
      <c r="J9" s="13">
        <f t="shared" si="1"/>
        <v>0</v>
      </c>
      <c r="K9" s="14">
        <f t="shared" si="2"/>
        <v>0</v>
      </c>
    </row>
    <row r="10" spans="1:11" x14ac:dyDescent="0.35">
      <c r="A10" s="10" t="s">
        <v>11</v>
      </c>
      <c r="B10" s="5">
        <v>2</v>
      </c>
      <c r="C10" s="11">
        <f t="shared" si="0"/>
        <v>80</v>
      </c>
      <c r="D10" s="12"/>
      <c r="E10" s="12"/>
      <c r="F10" s="12"/>
      <c r="G10" s="12"/>
      <c r="H10" s="12"/>
      <c r="I10" s="12"/>
      <c r="J10" s="13">
        <f t="shared" si="1"/>
        <v>0</v>
      </c>
      <c r="K10" s="14">
        <f t="shared" si="2"/>
        <v>0</v>
      </c>
    </row>
    <row r="11" spans="1:11" x14ac:dyDescent="0.35">
      <c r="A11" s="10" t="s">
        <v>12</v>
      </c>
      <c r="B11" s="5">
        <v>2</v>
      </c>
      <c r="C11" s="11">
        <f t="shared" si="0"/>
        <v>80</v>
      </c>
      <c r="D11" s="12"/>
      <c r="E11" s="12"/>
      <c r="F11" s="12"/>
      <c r="G11" s="12"/>
      <c r="H11" s="12"/>
      <c r="I11" s="12"/>
      <c r="J11" s="13">
        <f t="shared" si="1"/>
        <v>0</v>
      </c>
      <c r="K11" s="14">
        <f t="shared" si="2"/>
        <v>0</v>
      </c>
    </row>
    <row r="12" spans="1:11" x14ac:dyDescent="0.35">
      <c r="A12" s="10" t="s">
        <v>13</v>
      </c>
      <c r="B12" s="5">
        <v>2</v>
      </c>
      <c r="C12" s="11">
        <f t="shared" si="0"/>
        <v>80</v>
      </c>
      <c r="D12" s="12"/>
      <c r="E12" s="12"/>
      <c r="F12" s="12"/>
      <c r="G12" s="12"/>
      <c r="H12" s="12"/>
      <c r="I12" s="12"/>
      <c r="J12" s="13">
        <f t="shared" si="1"/>
        <v>0</v>
      </c>
      <c r="K12" s="14">
        <f t="shared" si="2"/>
        <v>0</v>
      </c>
    </row>
    <row r="13" spans="1:11" x14ac:dyDescent="0.35">
      <c r="A13" s="10" t="s">
        <v>14</v>
      </c>
      <c r="B13" s="5">
        <v>2</v>
      </c>
      <c r="C13" s="11">
        <f t="shared" si="0"/>
        <v>80</v>
      </c>
      <c r="D13" s="12"/>
      <c r="E13" s="12"/>
      <c r="F13" s="12"/>
      <c r="G13" s="12"/>
      <c r="H13" s="12"/>
      <c r="I13" s="12"/>
      <c r="J13" s="13">
        <f t="shared" si="1"/>
        <v>0</v>
      </c>
      <c r="K13" s="14">
        <f t="shared" si="2"/>
        <v>0</v>
      </c>
    </row>
    <row r="14" spans="1:11" x14ac:dyDescent="0.35">
      <c r="A14" s="7" t="s">
        <v>15</v>
      </c>
      <c r="B14" s="15">
        <f>SUM(B8:B13)</f>
        <v>11</v>
      </c>
      <c r="C14" s="8"/>
      <c r="D14" s="16">
        <f t="shared" ref="D14:I14" si="3">SUM(D8:D13)</f>
        <v>40</v>
      </c>
      <c r="E14" s="16">
        <f t="shared" si="3"/>
        <v>40</v>
      </c>
      <c r="F14" s="16">
        <f t="shared" si="3"/>
        <v>40</v>
      </c>
      <c r="G14" s="16">
        <f t="shared" si="3"/>
        <v>40</v>
      </c>
      <c r="H14" s="16">
        <f t="shared" si="3"/>
        <v>40</v>
      </c>
      <c r="I14" s="16">
        <f t="shared" si="3"/>
        <v>40</v>
      </c>
      <c r="J14" s="16">
        <f t="shared" ref="J14" si="4">SUM(J8:J13)</f>
        <v>160</v>
      </c>
      <c r="K14" s="17">
        <f t="shared" ref="K14" si="5">SUM(K8:K13)</f>
        <v>1000</v>
      </c>
    </row>
    <row r="15" spans="1:11" x14ac:dyDescent="0.35">
      <c r="A15" s="7" t="s">
        <v>16</v>
      </c>
      <c r="B15" s="8"/>
      <c r="C15" s="8"/>
      <c r="D15" s="17">
        <f>D14*D7</f>
        <v>250</v>
      </c>
      <c r="E15" s="17">
        <f>E14*E7</f>
        <v>250</v>
      </c>
      <c r="F15" s="17">
        <f>F14*F7</f>
        <v>250</v>
      </c>
      <c r="G15" s="17">
        <f>G14*G7</f>
        <v>250</v>
      </c>
      <c r="H15" s="17">
        <f>H14*H7</f>
        <v>250</v>
      </c>
      <c r="I15" s="17">
        <f>I14*I7</f>
        <v>250</v>
      </c>
      <c r="J15" s="8"/>
      <c r="K15" s="17">
        <f>SUM(F15:I15)</f>
        <v>1000</v>
      </c>
    </row>
    <row r="17" spans="1:9" ht="15" customHeight="1" x14ac:dyDescent="0.35">
      <c r="A17" s="1" t="s">
        <v>17</v>
      </c>
      <c r="B17" s="1"/>
      <c r="C17" s="1"/>
      <c r="D17" s="1"/>
      <c r="E17" s="1"/>
      <c r="F17" s="1"/>
      <c r="G17" s="1"/>
      <c r="H17" s="1"/>
      <c r="I17" s="18">
        <f>K14</f>
        <v>1000</v>
      </c>
    </row>
    <row r="19" spans="1:9" x14ac:dyDescent="0.35">
      <c r="A19" s="19"/>
    </row>
    <row r="20" spans="1:9" x14ac:dyDescent="0.35">
      <c r="A20" s="3"/>
    </row>
    <row r="21" spans="1:9" x14ac:dyDescent="0.35">
      <c r="A21" s="3"/>
    </row>
    <row r="22" spans="1:9" x14ac:dyDescent="0.35">
      <c r="A22" s="3"/>
    </row>
    <row r="23" spans="1:9" x14ac:dyDescent="0.35">
      <c r="A23" s="3"/>
    </row>
    <row r="24" spans="1:9" x14ac:dyDescent="0.35">
      <c r="A24" s="3"/>
    </row>
  </sheetData>
  <mergeCells count="1">
    <mergeCell ref="A17:H17"/>
  </mergeCells>
  <dataValidations count="6">
    <dataValidation type="decimal" allowBlank="1" showErrorMessage="1" errorTitle="Invalid hours" error="Maximum = weeks × working days × max. hours per day (see column C)." sqref="D8:I8" xr:uid="{00000000-0002-0000-0000-000000000000}">
      <formula1>0</formula1>
      <formula2>$C$8</formula2>
    </dataValidation>
    <dataValidation type="decimal" allowBlank="1" showErrorMessage="1" errorTitle="Invalid hours" error="Maximum = weeks × working days × max. hours per day (see column C)." sqref="D9:I9" xr:uid="{00000000-0002-0000-0000-000001000000}">
      <formula1>0</formula1>
      <formula2>$C$9</formula2>
    </dataValidation>
    <dataValidation type="decimal" allowBlank="1" showErrorMessage="1" errorTitle="Invalid hours" error="Maximum = weeks × working days × max. hours per day (see column C)." sqref="D10:I10" xr:uid="{00000000-0002-0000-0000-000002000000}">
      <formula1>0</formula1>
      <formula2>$C$10</formula2>
    </dataValidation>
    <dataValidation type="decimal" allowBlank="1" showErrorMessage="1" errorTitle="Invalid hours" error="Maximum = weeks × working days × max. hours per day (see column C)." sqref="D11:I11" xr:uid="{00000000-0002-0000-0000-000003000000}">
      <formula1>0</formula1>
      <formula2>$C$11</formula2>
    </dataValidation>
    <dataValidation type="decimal" allowBlank="1" showErrorMessage="1" errorTitle="Invalid hours" error="Maximum = weeks × working days × max. hours per day (see column C)." sqref="D12:I12" xr:uid="{00000000-0002-0000-0000-000004000000}">
      <formula1>0</formula1>
      <formula2>$C$12</formula2>
    </dataValidation>
    <dataValidation type="decimal" allowBlank="1" showErrorMessage="1" errorTitle="Invalid hours" error="Maximum = weeks × working days × max. hours per day (see column C)." sqref="D13:I13" xr:uid="{00000000-0002-0000-0000-000005000000}">
      <formula1>0</formula1>
      <formula2>$C$13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RAFAEL CAMILO RUBIO QUINTERO</cp:lastModifiedBy>
  <cp:revision>0</cp:revision>
  <dcterms:created xsi:type="dcterms:W3CDTF">2026-10-19T10:10:03Z</dcterms:created>
  <dcterms:modified xsi:type="dcterms:W3CDTF">2026-10-19T11:09:49Z</dcterms:modified>
  <dc:language>en-US</dc:language>
</cp:coreProperties>
</file>